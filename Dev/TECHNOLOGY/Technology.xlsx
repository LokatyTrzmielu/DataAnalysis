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kardexgroup-my.sharepoint.com/personal/alan_roszczyk_kardex_com/Documents/Desktop/"/>
    </mc:Choice>
  </mc:AlternateContent>
  <xr:revisionPtr revIDLastSave="2" documentId="8_{3EC6C979-0748-4B9A-9ABD-EA854B1DEF89}" xr6:coauthVersionLast="47" xr6:coauthVersionMax="47" xr10:uidLastSave="{895920A4-BAF8-436F-B130-2CCFC6EB3AD9}"/>
  <bookViews>
    <workbookView xWindow="14295" yWindow="0" windowWidth="14610" windowHeight="15585" xr2:uid="{00000000-000D-0000-FFFF-FFFF00000000}"/>
  </bookViews>
  <sheets>
    <sheet name="SKU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2" i="1"/>
  <c r="P3" i="1"/>
  <c r="P4" i="1"/>
  <c r="P2" i="1"/>
  <c r="C2" i="2"/>
  <c r="D2" i="2" s="1"/>
  <c r="L4" i="1" s="1"/>
  <c r="M4" i="1" s="1"/>
  <c r="N4" i="1" s="1"/>
  <c r="K3" i="1"/>
  <c r="K4" i="1"/>
  <c r="K2" i="1"/>
  <c r="J3" i="1"/>
  <c r="J4" i="1"/>
  <c r="J2" i="1"/>
  <c r="I3" i="1"/>
  <c r="I4" i="1"/>
  <c r="I2" i="1"/>
  <c r="H3" i="1"/>
  <c r="H4" i="1"/>
  <c r="H2" i="1"/>
  <c r="O4" i="1" l="1"/>
  <c r="U4" i="1"/>
  <c r="T4" i="1"/>
  <c r="L3" i="1"/>
  <c r="M3" i="1" s="1"/>
  <c r="N3" i="1" s="1"/>
  <c r="L2" i="1"/>
  <c r="M2" i="1" s="1"/>
  <c r="N2" i="1" s="1"/>
  <c r="O3" i="1" l="1"/>
  <c r="U3" i="1"/>
  <c r="T3" i="1"/>
  <c r="O2" i="1"/>
  <c r="U2" i="1"/>
  <c r="S4" i="1"/>
  <c r="R4" i="1"/>
  <c r="S2" i="1" l="1"/>
  <c r="R2" i="1"/>
  <c r="T2" i="1"/>
  <c r="S3" i="1"/>
  <c r="R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tc={F18C4131-93D5-48A3-AD9C-6C2AD1F2BA50}</author>
    <author>tc={F0E7AECE-10A7-452B-BCCC-20078494321E}</author>
    <author>tc={45F7E498-706A-41A9-83AD-5B471910DD9D}</author>
    <author>tc={C739E743-3934-473C-B4D1-DD517398A5E7}</author>
  </authors>
  <commentList>
    <comment ref="I1" authorId="0" shapeId="0" xr:uid="{F18C4131-93D5-48A3-AD9C-6C2AD1F2BA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(czyli Qty_per_line * ItemVolume) </t>
      </text>
    </comment>
    <comment ref="O1" authorId="1" shapeId="0" xr:uid="{F0E7AECE-10A7-452B-BCCC-2007849432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Segment - Znaczenie
FAST idealne pod automat
OK stabilne
RISK potencjalny problem
BAD❌ nie dla automatyki
</t>
      </text>
    </comment>
    <comment ref="Q1" authorId="2" shapeId="0" xr:uid="{45F7E498-706A-41A9-83AD-5B471910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Velocity - Znaczenie
HIGH kluczowe SKU
MEDIUM normalne
LOW slow movers</t>
      </text>
    </comment>
    <comment ref="U1" authorId="3" shapeId="0" xr:uid="{C739E743-3934-473C-B4D1-DD517398A5E7}">
      <text>
        <t>[Threaded comment]
Your version of Excel allows you to read this threaded comment; however, any edits to it will get removed if the file is opened in a newer version of Excel. Learn more: https://go.microsoft.com/fwlink/?linkid=870924
Comment:
    które SKU realnie obciążają system</t>
      </text>
    </comment>
  </commentList>
</comments>
</file>

<file path=xl/sharedStrings.xml><?xml version="1.0" encoding="utf-8"?>
<sst xmlns="http://schemas.openxmlformats.org/spreadsheetml/2006/main" count="33" uniqueCount="33">
  <si>
    <t>SKU</t>
  </si>
  <si>
    <t>Depth (mm)</t>
  </si>
  <si>
    <t>Width (mm)</t>
  </si>
  <si>
    <t>Height (mm)</t>
  </si>
  <si>
    <t>Qty_per_line</t>
  </si>
  <si>
    <t>Lines_total</t>
  </si>
  <si>
    <t>Days</t>
  </si>
  <si>
    <t>A</t>
  </si>
  <si>
    <t>B</t>
  </si>
  <si>
    <t>C</t>
  </si>
  <si>
    <t>ItemVolume (m³)</t>
  </si>
  <si>
    <t>LineCube</t>
  </si>
  <si>
    <t>Lines_per_day</t>
  </si>
  <si>
    <t>Pieces_per_day</t>
  </si>
  <si>
    <t>Parametr</t>
  </si>
  <si>
    <t>Wartość</t>
  </si>
  <si>
    <t>Bin_depth (mm)</t>
  </si>
  <si>
    <t>Bin_width (mm)</t>
  </si>
  <si>
    <t>Bin_height (mm)</t>
  </si>
  <si>
    <t>Utilization</t>
  </si>
  <si>
    <t>BinVolume</t>
  </si>
  <si>
    <t>EffectiveBinVolume</t>
  </si>
  <si>
    <t>Pieces per bin</t>
  </si>
  <si>
    <t>Daily Replenishment</t>
  </si>
  <si>
    <t>ReplenishmentRatio</t>
  </si>
  <si>
    <t>Segment</t>
  </si>
  <si>
    <t>Velocity Percentile</t>
  </si>
  <si>
    <t>Velocity Segment</t>
  </si>
  <si>
    <t>Technology basic</t>
  </si>
  <si>
    <t>Technology pro</t>
  </si>
  <si>
    <t>Technology ultra pro</t>
  </si>
  <si>
    <t>Workload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</si>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</sst>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[$€-2]\ * #,##0.00_);_([$€-2]\ * \(#,##0.00\);_([$€-2]\ * &quot;-&quot;??_);_(@_)"/>
    <numFmt numFmtId="165" formatCode="_([$€-2]\ * #,##0_);_([$€-2]\ * \(#,##0\);_([$€-2]\ * &quot;-&quot;_);_(@_)"/>
    <numFmt numFmtId="172" formatCode="0.0000"/>
  </numFmts>
  <fonts count="20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4506668294322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7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5F5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0">
    <xf numFmtId="0" fontId="0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9" fontId="14" fillId="0" borderId="0">
      <alignment horizontal="left"/>
    </xf>
    <xf numFmtId="49" fontId="15" fillId="0" borderId="0">
      <alignment horizontal="left"/>
    </xf>
    <xf numFmtId="49" fontId="9" fillId="0" borderId="0">
      <alignment horizontal="left"/>
    </xf>
    <xf numFmtId="0" fontId="3" fillId="0" borderId="0" applyNumberFormat="0" applyFill="0" applyBorder="0" applyAlignment="0" applyProtection="0"/>
    <xf numFmtId="0" fontId="16" fillId="0" borderId="9" applyNumberFormat="0">
      <alignment vertical="center"/>
    </xf>
    <xf numFmtId="0" fontId="12" fillId="0" borderId="5" applyNumberFormat="0">
      <alignment vertical="center"/>
    </xf>
    <xf numFmtId="0" fontId="8" fillId="0" borderId="6" applyNumberFormat="0" applyAlignment="0" applyProtection="0"/>
    <xf numFmtId="0" fontId="9" fillId="6" borderId="1" applyNumberFormat="0">
      <alignment vertical="center"/>
      <protection locked="0"/>
    </xf>
    <xf numFmtId="0" fontId="4" fillId="2" borderId="2" applyNumberFormat="0" applyAlignment="0" applyProtection="0"/>
    <xf numFmtId="0" fontId="13" fillId="5" borderId="0" applyNumberFormat="0">
      <alignment vertical="center"/>
    </xf>
    <xf numFmtId="0" fontId="5" fillId="0" borderId="3" applyNumberFormat="0" applyFill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10" fillId="4" borderId="7" applyNumberFormat="0">
      <alignment vertical="center" wrapText="1"/>
    </xf>
    <xf numFmtId="49" fontId="11" fillId="0" borderId="0" applyBorder="0">
      <alignment vertical="center" wrapText="1"/>
    </xf>
    <xf numFmtId="0" fontId="9" fillId="0" borderId="8" applyNumberFormat="0">
      <alignment vertical="center"/>
    </xf>
  </cellStyleXfs>
  <cellXfs count="6">
    <xf numFmtId="0" fontId="0" fillId="0" borderId="0" xfId="0">
      <alignment vertical="center"/>
    </xf>
    <xf numFmtId="0" fontId="17" fillId="7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172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7" fillId="7" borderId="11" xfId="0" applyFont="1" applyFill="1" applyBorder="1" applyAlignment="1">
      <alignment horizontal="center" vertical="center" wrapText="1"/>
    </xf>
  </cellXfs>
  <cellStyles count="20">
    <cellStyle name="Bad" xfId="9" builtinId="27" customBuiltin="1"/>
    <cellStyle name="Calculation" xfId="13" builtinId="22" customBuiltin="1"/>
    <cellStyle name="Check Cell" xfId="15" builtinId="23" hidden="1"/>
    <cellStyle name="Currency" xfId="1" builtinId="4" customBuiltin="1"/>
    <cellStyle name="Currency [0]" xfId="2" builtinId="7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hidden="1"/>
    <cellStyle name="Input" xfId="11" builtinId="20" customBuiltin="1"/>
    <cellStyle name="Linked Cell" xfId="14" builtinId="24" hidden="1"/>
    <cellStyle name="Neutral" xfId="10" builtinId="28" hidden="1" customBuiltin="1"/>
    <cellStyle name="Normal" xfId="0" builtinId="0" customBuiltin="1"/>
    <cellStyle name="Note" xfId="17" builtinId="10" customBuiltin="1"/>
    <cellStyle name="Output" xfId="12" builtinId="21" hidden="1"/>
    <cellStyle name="Title" xfId="3" builtinId="15" hidden="1"/>
    <cellStyle name="Total" xfId="19" builtinId="25" customBuiltin="1"/>
    <cellStyle name="Warning Text" xfId="16" builtinId="11" hidden="1"/>
  </cellStyles>
  <dxfs count="27">
    <dxf>
      <font>
        <b/>
        <i val="0"/>
        <color theme="4"/>
      </font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</border>
    </dxf>
    <dxf>
      <font>
        <b/>
        <i val="0"/>
        <color theme="4"/>
      </font>
      <border>
        <right style="thin">
          <color theme="2"/>
        </right>
      </border>
    </dxf>
    <dxf>
      <font>
        <b/>
        <i val="0"/>
        <color theme="3"/>
      </font>
      <border>
        <top style="medium">
          <color theme="2"/>
        </top>
      </border>
    </dxf>
    <dxf>
      <font>
        <b/>
        <i val="0"/>
        <color theme="4"/>
      </font>
      <border>
        <bottom style="medium">
          <color theme="2"/>
        </bottom>
      </border>
    </dxf>
    <dxf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/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/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/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 style="thin">
          <color theme="2"/>
        </right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</dxfs>
  <tableStyles count="3" defaultTableStyle="Kardex" defaultPivotStyle="Kardex Pivot">
    <tableStyle name="Kardex" pivot="0" count="6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ColumnStripe" dxfId="21"/>
    </tableStyle>
    <tableStyle name="Kardex (Presentation)" pivot="0" count="6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ColumnStripe" dxfId="15"/>
    </tableStyle>
    <tableStyle name="Kardex Pivot" table="0" count="15" xr9:uid="{00000000-0011-0000-FFFF-FFFF02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ColumnStripe" dxfId="9"/>
      <tableStyleElement type="firstSubtotalColumn" dxfId="8"/>
      <tableStyleElement type="thirdSubtotalColumn" dxfId="7"/>
      <tableStyleElement type="firstSubtotalRow" dxfId="6"/>
      <tableStyleElement type="thirdSubtotalRow" dxfId="5"/>
      <tableStyleElement type="firstColumnSubheading" dxfId="4"/>
      <tableStyleElement type="thirdColumnSubheading" dxfId="3"/>
      <tableStyleElement type="firstRowSubheading" dxfId="2"/>
      <tableStyleElement type="thirdRowSubheading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an Roszczyk" id="{90F64EA6-227A-4319-98E8-2BC39672EACA}" userId="S::alan.roszczyk@kardex.com::4ae9c809-66d8-428f-b79d-c0b8fcd3b1b7" providerId="AD"/>
</personList>
</file>

<file path=xl/theme/theme1.xml><?xml version="1.0" encoding="utf-8"?>
<a:theme xmlns:a="http://schemas.openxmlformats.org/drawingml/2006/main" name="Kardex">
  <a:themeElements>
    <a:clrScheme name="Kardex Holding">
      <a:dk1>
        <a:sysClr val="windowText" lastClr="000000"/>
      </a:dk1>
      <a:lt1>
        <a:srgbClr val="FFFFFF"/>
      </a:lt1>
      <a:dk2>
        <a:srgbClr val="6F8A9D"/>
      </a:dk2>
      <a:lt2>
        <a:srgbClr val="96AEC2"/>
      </a:lt2>
      <a:accent1>
        <a:srgbClr val="96AEC2"/>
      </a:accent1>
      <a:accent2>
        <a:srgbClr val="4F6A64"/>
      </a:accent2>
      <a:accent3>
        <a:srgbClr val="AEBFC3"/>
      </a:accent3>
      <a:accent4>
        <a:srgbClr val="979796"/>
      </a:accent4>
      <a:accent5>
        <a:srgbClr val="9E3B47"/>
      </a:accent5>
      <a:accent6>
        <a:srgbClr val="EEC18F"/>
      </a:accent6>
      <a:hlink>
        <a:srgbClr val="6F8A9D"/>
      </a:hlink>
      <a:folHlink>
        <a:srgbClr val="92A2A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alpha val="5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9388" indent="-179388">
          <a:buClr>
            <a:schemeClr val="tx2"/>
          </a:buClr>
          <a:buFont typeface="Wingdings" panose="05000000000000000000" pitchFamily="2" charset="2"/>
          <a:buChar char="§"/>
          <a:defRPr dirty="0" err="1" smtClean="0"/>
        </a:defPPr>
      </a:lstStyle>
    </a:txDef>
  </a:objectDefaults>
  <a:extraClrSchemeLst/>
  <a:custClrLst>
    <a:custClr name="Kardex Blue 1">
      <a:srgbClr val="96AEC2"/>
    </a:custClr>
    <a:custClr name="Kardex Blue 2">
      <a:srgbClr val="6F8A9D"/>
    </a:custClr>
    <a:custClr name="Kardex Blue 3">
      <a:srgbClr val="546A7A"/>
    </a:custClr>
    <a:custClr name="Kardex Gray 1">
      <a:srgbClr val="AEBFC3"/>
    </a:custClr>
    <a:custClr name="Kardex Gray 2">
      <a:srgbClr val="92A2A5"/>
    </a:custClr>
    <a:custClr name="Kardex Gray 3">
      <a:srgbClr val="5D6E73"/>
    </a:custClr>
    <a:custClr name="Kardex Red 1">
      <a:srgbClr val="E17F70"/>
    </a:custClr>
    <a:custClr name="Kardex Red 2">
      <a:srgbClr val="9E3B47"/>
    </a:custClr>
    <a:custClr name="Kardex Red 3">
      <a:srgbClr val="75242D"/>
    </a:custClr>
    <a:custClr name="Pure White">
      <a:srgbClr val="FFFFFF"/>
    </a:custClr>
    <a:custClr name="Kardex Green 1">
      <a:srgbClr val="A2B9AF"/>
    </a:custClr>
    <a:custClr name="Kardex Green 2">
      <a:srgbClr val="92A094"/>
    </a:custClr>
    <a:custClr name="Kardex Green 3">
      <a:srgbClr val="4F6A64"/>
    </a:custClr>
    <a:custClr name="Kardex Silver 1">
      <a:srgbClr val="A8ACA9"/>
    </a:custClr>
    <a:custClr name="Kardex Silver 2">
      <a:srgbClr val="979796"/>
    </a:custClr>
    <a:custClr name="Kardex Silver 3">
      <a:srgbClr val="757777"/>
    </a:custClr>
    <a:custClr name="Kardex Sand 1">
      <a:srgbClr val="EEC18F"/>
    </a:custClr>
    <a:custClr name="Kardex Sand 2">
      <a:srgbClr val="CE9F6B"/>
    </a:custClr>
    <a:custClr name="Kardex Sand 3">
      <a:srgbClr val="976E44"/>
    </a:custClr>
    <a:custClr name="Deep Black">
      <a:srgbClr val="000000"/>
    </a:custClr>
  </a:custClrLst>
  <a:extLst>
    <a:ext uri="{05A4C25C-085E-4340-85A3-A5531E510DB2}">
      <thm15:themeFamily xmlns:thm15="http://schemas.microsoft.com/office/thememl/2012/main" name="Kardex Group" id="{4DF80487-2A3B-8A4B-82C8-E42A97E14912}" vid="{82EA4D15-D353-414E-A8BF-CC7896426015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5-20T17:30:50.46" personId="{90F64EA6-227A-4319-98E8-2BC39672EACA}" id="{F18C4131-93D5-48A3-AD9C-6C2AD1F2BA50}">
    <text xml:space="preserve">(czyli Qty_per_line * ItemVolume) </text>
  </threadedComment>
  <threadedComment ref="O1" dT="2026-05-20T18:02:07.10" personId="{90F64EA6-227A-4319-98E8-2BC39672EACA}" id="{F0E7AECE-10A7-452B-BCCC-20078494321E}">
    <text xml:space="preserve">Segment - Znaczenie
FAST idealne pod automat
OK stabilne
RISK potencjalny problem
BAD❌ nie dla automatyki
</text>
  </threadedComment>
  <threadedComment ref="Q1" dT="2026-05-20T18:01:27.62" personId="{90F64EA6-227A-4319-98E8-2BC39672EACA}" id="{45F7E498-706A-41A9-83AD-5B471910DD9D}">
    <text>Velocity - Znaczenie
HIGH kluczowe SKU
MEDIUM normalne
LOW slow movers</text>
  </threadedComment>
  <threadedComment ref="U1" dT="2026-05-20T18:18:52.84" personId="{90F64EA6-227A-4319-98E8-2BC39672EACA}" id="{C739E743-3934-473C-B4D1-DD517398A5E7}">
    <text>które SKU realnie obciążają system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"/>
  <sheetViews>
    <sheetView tabSelected="1" topLeftCell="M1" zoomScaleNormal="100" workbookViewId="0">
      <selection activeCell="O2" sqref="O2"/>
    </sheetView>
  </sheetViews>
  <sheetFormatPr defaultColWidth="9.140625" defaultRowHeight="12.75" x14ac:dyDescent="0.2"/>
  <cols>
    <col min="1" max="7" width="16" customWidth="1"/>
    <col min="8" max="8" width="20.42578125" customWidth="1"/>
    <col min="9" max="9" width="12" customWidth="1"/>
    <col min="10" max="10" width="13.28515625" customWidth="1"/>
    <col min="11" max="11" width="14.85546875" customWidth="1"/>
    <col min="12" max="12" width="15.7109375" customWidth="1"/>
    <col min="13" max="13" width="13.85546875" customWidth="1"/>
    <col min="14" max="14" width="14.85546875" customWidth="1"/>
    <col min="16" max="16" width="11.42578125" customWidth="1"/>
    <col min="17" max="17" width="10.85546875" customWidth="1"/>
    <col min="18" max="18" width="12.7109375" customWidth="1"/>
    <col min="19" max="19" width="12.28515625" customWidth="1"/>
    <col min="20" max="20" width="15.42578125" bestFit="1" customWidth="1"/>
    <col min="21" max="21" width="10.42578125" customWidth="1"/>
  </cols>
  <sheetData>
    <row r="1" spans="1:21" ht="4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5" t="s">
        <v>31</v>
      </c>
    </row>
    <row r="2" spans="1:21" ht="15" thickBot="1" x14ac:dyDescent="0.25">
      <c r="A2" s="2" t="s">
        <v>7</v>
      </c>
      <c r="B2" s="2">
        <v>100</v>
      </c>
      <c r="C2" s="2">
        <v>100</v>
      </c>
      <c r="D2" s="2">
        <v>100</v>
      </c>
      <c r="E2" s="2">
        <v>2</v>
      </c>
      <c r="F2" s="2">
        <v>200</v>
      </c>
      <c r="G2" s="2">
        <v>20</v>
      </c>
      <c r="H2">
        <f xml:space="preserve"> (B2/1000) * (C2/1000) * (D2/1000)</f>
        <v>1.0000000000000002E-3</v>
      </c>
      <c r="I2">
        <f xml:space="preserve"> E2 * H2</f>
        <v>2.0000000000000005E-3</v>
      </c>
      <c r="J2">
        <f xml:space="preserve"> F2 / G2</f>
        <v>10</v>
      </c>
      <c r="K2">
        <f xml:space="preserve"> (E2 * F2) / G2</f>
        <v>20</v>
      </c>
      <c r="L2">
        <f>CONFIG!D2/SKU!H2</f>
        <v>31.679999999999993</v>
      </c>
      <c r="M2" s="4">
        <f>K2/L2</f>
        <v>0.63131313131313149</v>
      </c>
      <c r="N2" s="4">
        <f>M2/J2</f>
        <v>6.3131313131313149E-2</v>
      </c>
      <c r="O2" t="str">
        <f>IF(N2&lt;0.1,"FAST",IF(N2&lt;0.3,"OK",IF(N2&lt;1,"RISK","BAD")))</f>
        <v>FAST</v>
      </c>
      <c r="P2">
        <f>_xlfn.PERCENTRANK.INC($J$2:$J$1000,J2)</f>
        <v>1</v>
      </c>
      <c r="Q2" t="str">
        <f>IF(P2&gt;=0.8,"HIGH",
 IF(P2&gt;=0.5,"MEDIUM","LOW"))</f>
        <v>HIGH</v>
      </c>
      <c r="R2" t="str">
        <f>IF(AND(O2="FAST",Q2="HIGH"),"MiB/VBM",
 IF(AND(O2="FAST",Q2="MEDIUM"),"VLM",
 IF(O2="BAD","OUTSIDE",
 IF(O2="RISK","CHECK",
 IF(P2="LOW","OUTSIDE","CHECK")))))</f>
        <v>MiB/VBM</v>
      </c>
      <c r="S2" t="str">
        <f>IF(O2="BAD","OUTSIDE",
 IF(AND(O2="FAST",Q2="HIGH"),"MiB",
 IF(AND(O2="FAST",Q2="MEDIUM"),"VBM",
 IF(AND(O2="OK",Q2="HIGH"),"VLM",
 IF(AND(O2="RISK",Q2="HIGH"),"CHECK_CAPACITY",
 IF(Q2="LOW","STATIC","CHECK"))))))</f>
        <v>MiB</v>
      </c>
      <c r="T2" t="str">
        <f>IF(N2&gt;1,"OUTSIDE_CRITICAL",
 IF(N2&gt;0.5,"REDESIGN",
 IF(AND(O2="FAST",Q2="HIGH"),"MiB",
 IF(Q2="LOW","STATIC","CHECK"))))</f>
        <v>MiB</v>
      </c>
      <c r="U2" s="4">
        <f>J2*(1+N2)</f>
        <v>10.631313131313131</v>
      </c>
    </row>
    <row r="3" spans="1:21" ht="15" thickBot="1" x14ac:dyDescent="0.25">
      <c r="A3" s="2" t="s">
        <v>8</v>
      </c>
      <c r="B3" s="2">
        <v>300</v>
      </c>
      <c r="C3" s="2">
        <v>200</v>
      </c>
      <c r="D3" s="2">
        <v>150</v>
      </c>
      <c r="E3" s="2">
        <v>5</v>
      </c>
      <c r="F3" s="2">
        <v>50</v>
      </c>
      <c r="G3" s="2">
        <v>20</v>
      </c>
      <c r="H3">
        <f t="shared" ref="H3:H4" si="0" xml:space="preserve"> (B3/1000) * (C3/1000) * (D3/1000)</f>
        <v>8.9999999999999993E-3</v>
      </c>
      <c r="I3">
        <f t="shared" ref="I3:I4" si="1" xml:space="preserve"> E3 * H3</f>
        <v>4.4999999999999998E-2</v>
      </c>
      <c r="J3">
        <f t="shared" ref="J3:J4" si="2" xml:space="preserve"> F3 / G3</f>
        <v>2.5</v>
      </c>
      <c r="K3">
        <f t="shared" ref="K3:K4" si="3" xml:space="preserve"> (E3 * F3) / G3</f>
        <v>12.5</v>
      </c>
      <c r="L3">
        <f>CONFIG!D2/SKU!H3</f>
        <v>3.5200000000000005</v>
      </c>
      <c r="M3" s="4">
        <f t="shared" ref="M3:M4" si="4">K3/L3</f>
        <v>3.5511363636363633</v>
      </c>
      <c r="N3" s="4">
        <f t="shared" ref="N3:N4" si="5">M3/J3</f>
        <v>1.4204545454545454</v>
      </c>
      <c r="O3" t="str">
        <f t="shared" ref="O3:O4" si="6">IF(N3&lt;0.1,"FAST",IF(N3&lt;0.3,"OK",IF(N3&lt;1,"RISK","BAD")))</f>
        <v>BAD</v>
      </c>
      <c r="P3">
        <f t="shared" ref="P3:P4" si="7">_xlfn.PERCENTRANK.INC($J$2:$J$1000,J3)</f>
        <v>0.5</v>
      </c>
      <c r="Q3" t="str">
        <f t="shared" ref="Q3:Q4" si="8">IF(P3&gt;=0.8,"HIGH",
 IF(P3&gt;=0.5,"MEDIUM","LOW"))</f>
        <v>MEDIUM</v>
      </c>
      <c r="R3" t="str">
        <f t="shared" ref="R3:R4" si="9">IF(AND(O3="FAST",Q3="HIGH"),"MiB/VBM",
 IF(AND(O3="FAST",Q3="MEDIUM"),"VLM",
 IF(O3="BAD","OUTSIDE",
 IF(O3="RISK","CHECK",
 IF(P3="LOW","OUTSIDE","CHECK")))))</f>
        <v>OUTSIDE</v>
      </c>
      <c r="S3" t="str">
        <f t="shared" ref="S3:S4" si="10">IF(O3="BAD","OUTSIDE",
 IF(AND(O3="FAST",Q3="HIGH"),"MiB",
 IF(AND(O3="FAST",Q3="MEDIUM"),"VBM",
 IF(AND(O3="OK",Q3="HIGH"),"VLM",
 IF(AND(O3="RISK",Q3="HIGH"),"CHECK_CAPACITY",
 IF(Q3="LOW","STATIC","CHECK"))))))</f>
        <v>OUTSIDE</v>
      </c>
      <c r="T3" t="str">
        <f t="shared" ref="T3:T4" si="11">IF(N3&gt;1,"OUTSIDE_CRITICAL",
 IF(N3&gt;0.5,"REDESIGN",
 IF(AND(O3="FAST",Q3="HIGH"),"MiB",
 IF(Q3="LOW","STATIC","CHECK"))))</f>
        <v>OUTSIDE_CRITICAL</v>
      </c>
      <c r="U3" s="4">
        <f t="shared" ref="U3:U4" si="12">J3*(1+N3)</f>
        <v>6.0511363636363633</v>
      </c>
    </row>
    <row r="4" spans="1:21" ht="15" thickBot="1" x14ac:dyDescent="0.25">
      <c r="A4" s="2" t="s">
        <v>9</v>
      </c>
      <c r="B4" s="2">
        <v>400</v>
      </c>
      <c r="C4" s="2">
        <v>300</v>
      </c>
      <c r="D4" s="2">
        <v>200</v>
      </c>
      <c r="E4" s="2">
        <v>20</v>
      </c>
      <c r="F4" s="2">
        <v>30</v>
      </c>
      <c r="G4" s="2">
        <v>20</v>
      </c>
      <c r="H4">
        <f t="shared" si="0"/>
        <v>2.4E-2</v>
      </c>
      <c r="I4">
        <f t="shared" si="1"/>
        <v>0.48</v>
      </c>
      <c r="J4">
        <f t="shared" si="2"/>
        <v>1.5</v>
      </c>
      <c r="K4">
        <f t="shared" si="3"/>
        <v>30</v>
      </c>
      <c r="L4">
        <f>CONFIG!D2/SKU!H4</f>
        <v>1.32</v>
      </c>
      <c r="M4" s="4">
        <f t="shared" si="4"/>
        <v>22.727272727272727</v>
      </c>
      <c r="N4" s="4">
        <f t="shared" si="5"/>
        <v>15.15151515151515</v>
      </c>
      <c r="O4" t="str">
        <f t="shared" si="6"/>
        <v>BAD</v>
      </c>
      <c r="P4">
        <f t="shared" si="7"/>
        <v>0</v>
      </c>
      <c r="Q4" t="str">
        <f t="shared" si="8"/>
        <v>LOW</v>
      </c>
      <c r="R4" t="str">
        <f t="shared" si="9"/>
        <v>OUTSIDE</v>
      </c>
      <c r="S4" t="str">
        <f t="shared" si="10"/>
        <v>OUTSIDE</v>
      </c>
      <c r="T4" t="str">
        <f t="shared" si="11"/>
        <v>OUTSIDE_CRITICAL</v>
      </c>
      <c r="U4" s="4">
        <f t="shared" si="12"/>
        <v>24.227272727272723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B500-F4E9-40F1-A46F-E18594D646FA}">
  <dimension ref="A1:D14"/>
  <sheetViews>
    <sheetView zoomScaleNormal="100" workbookViewId="0">
      <selection activeCell="C26" sqref="C26"/>
    </sheetView>
  </sheetViews>
  <sheetFormatPr defaultColWidth="9.140625" defaultRowHeight="12.75" x14ac:dyDescent="0.2"/>
  <cols>
    <col min="1" max="1" width="14.7109375" customWidth="1"/>
    <col min="3" max="3" width="10.85546875" customWidth="1"/>
    <col min="4" max="4" width="22.42578125" customWidth="1"/>
  </cols>
  <sheetData>
    <row r="1" spans="1:4" ht="15" thickBot="1" x14ac:dyDescent="0.25">
      <c r="A1" s="1" t="s">
        <v>14</v>
      </c>
      <c r="B1" s="1" t="s">
        <v>15</v>
      </c>
      <c r="C1" s="1" t="s">
        <v>20</v>
      </c>
      <c r="D1" s="1" t="s">
        <v>21</v>
      </c>
    </row>
    <row r="2" spans="1:4" ht="15" thickBot="1" x14ac:dyDescent="0.25">
      <c r="A2" s="2" t="s">
        <v>16</v>
      </c>
      <c r="B2" s="2">
        <v>600</v>
      </c>
      <c r="C2">
        <f xml:space="preserve"> (600/1000)*(400/1000)*(220/1000)</f>
        <v>5.28E-2</v>
      </c>
      <c r="D2" s="3">
        <f>C2*B5</f>
        <v>3.168E-2</v>
      </c>
    </row>
    <row r="3" spans="1:4" ht="15" thickBot="1" x14ac:dyDescent="0.25">
      <c r="A3" s="2" t="s">
        <v>17</v>
      </c>
      <c r="B3" s="2">
        <v>400</v>
      </c>
    </row>
    <row r="4" spans="1:4" ht="15" thickBot="1" x14ac:dyDescent="0.25">
      <c r="A4" s="2" t="s">
        <v>18</v>
      </c>
      <c r="B4" s="2">
        <v>220</v>
      </c>
    </row>
    <row r="5" spans="1:4" ht="15" thickBot="1" x14ac:dyDescent="0.25">
      <c r="A5" s="2" t="s">
        <v>19</v>
      </c>
      <c r="B5" s="2">
        <v>0.6</v>
      </c>
    </row>
    <row r="14" spans="1:4" x14ac:dyDescent="0.2">
      <c r="C14" t="s">
        <v>32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08A538C0D974299CCD8A00BF4CFEB" ma:contentTypeVersion="12" ma:contentTypeDescription="Create a new document." ma:contentTypeScope="" ma:versionID="494311624b4c44509c4301abe030ab56">
  <xsd:schema xmlns:xsd="http://www.w3.org/2001/XMLSchema" xmlns:xs="http://www.w3.org/2001/XMLSchema" xmlns:p="http://schemas.microsoft.com/office/2006/metadata/properties" xmlns:ns2="77ed0254-7d7e-4266-b99f-5d36d125b742" xmlns:ns3="aebc28b2-81ba-4bb1-ba89-659cb781f973" targetNamespace="http://schemas.microsoft.com/office/2006/metadata/properties" ma:root="true" ma:fieldsID="74ddcb1c3e66563a2347fa4a1deb39a7" ns2:_="" ns3:_="">
    <xsd:import namespace="77ed0254-7d7e-4266-b99f-5d36d125b742"/>
    <xsd:import namespace="aebc28b2-81ba-4bb1-ba89-659cb781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d0254-7d7e-4266-b99f-5d36d125b7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d2333c-f290-48e9-bce8-375b3ae72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c28b2-81ba-4bb1-ba89-659cb781f9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050faf-cca8-4a41-ae4a-f2008db086bc}" ma:internalName="TaxCatchAll" ma:showField="CatchAllData" ma:web="aebc28b2-81ba-4bb1-ba89-659cb781f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d0254-7d7e-4266-b99f-5d36d125b742">
      <Terms xmlns="http://schemas.microsoft.com/office/infopath/2007/PartnerControls"/>
    </lcf76f155ced4ddcb4097134ff3c332f>
    <TaxCatchAll xmlns="aebc28b2-81ba-4bb1-ba89-659cb781f9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63A4B0-FAF6-4E43-9985-D1E1BB3E8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d0254-7d7e-4266-b99f-5d36d125b742"/>
    <ds:schemaRef ds:uri="aebc28b2-81ba-4bb1-ba89-659cb781f9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32E91-7644-4D2C-920F-FCCB256AFEB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d5a61792-4087-415b-a353-296618bea95c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4cd0e06-2032-4ffe-993e-c00cd12798bc"/>
    <ds:schemaRef ds:uri="77ed0254-7d7e-4266-b99f-5d36d125b742"/>
    <ds:schemaRef ds:uri="aebc28b2-81ba-4bb1-ba89-659cb781f973"/>
  </ds:schemaRefs>
</ds:datastoreItem>
</file>

<file path=customXml/itemProps3.xml><?xml version="1.0" encoding="utf-8"?>
<ds:datastoreItem xmlns:ds="http://schemas.openxmlformats.org/officeDocument/2006/customXml" ds:itemID="{C0DD595D-EF05-49BC-9835-0E2AF7BB8E1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2a11eb-f80f-4d21-bf22-a0d7dbd96728}" enabled="0" method="" siteId="{8b2a11eb-f80f-4d21-bf22-a0d7dbd96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CONFIG</vt:lpstr>
    </vt:vector>
  </TitlesOfParts>
  <Company>Kardex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Alan Roszczyk</dc:creator>
  <cp:lastModifiedBy>Alan Roszczyk</cp:lastModifiedBy>
  <cp:lastPrinted>2017-12-06T13:13:02Z</cp:lastPrinted>
  <dcterms:created xsi:type="dcterms:W3CDTF">2011-01-30T21:22:15Z</dcterms:created>
  <dcterms:modified xsi:type="dcterms:W3CDTF">2026-05-20T20:23:07Z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0x01010077108A538C0D974299CCD8A00BF4CFEB</vt:lpwstr>
  </property>
  <property fmtid="{D5CDD505-2E9C-101B-9397-08002B2CF9AE}" pid="3" name="AuthorIds_UIVersion_512">
    <vt:lpwstr>6</vt:lpwstr>
  </property>
  <property fmtid="{D5CDD505-2E9C-101B-9397-08002B2CF9AE}" pid="4" name="Order">
    <vt:r8>122900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